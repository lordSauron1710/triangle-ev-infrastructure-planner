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 State MEM\Fall 24\Operations Research ISE 501 002\Project\"/>
    </mc:Choice>
  </mc:AlternateContent>
  <xr:revisionPtr revIDLastSave="0" documentId="13_ncr:1_{CEF0CFBB-6142-4D94-9135-DB89B7E2D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5" r:id="rId1"/>
  </sheets>
  <definedNames>
    <definedName name="solver_adj" localSheetId="0" hidden="1">Sheet3!$C$9:$E$17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Sheet3!$C$9:$C$17</definedName>
    <definedName name="solver_lhs2" localSheetId="0" hidden="1">Sheet3!$I$18:$I$26</definedName>
    <definedName name="solver_lhs3" localSheetId="0" hidden="1">Sheet3!$I$27:$I$35</definedName>
    <definedName name="solver_lhs4" localSheetId="0" hidden="1">Sheet3!$I$9:$I$17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Sheet3!$B$20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1</definedName>
    <definedName name="solver_rel3" localSheetId="0" hidden="1">2</definedName>
    <definedName name="solver_rel4" localSheetId="0" hidden="1">3</definedName>
    <definedName name="solver_rhs1" localSheetId="0" hidden="1">"binary"</definedName>
    <definedName name="solver_rhs2" localSheetId="0" hidden="1">Sheet3!$J$18:$J$26</definedName>
    <definedName name="solver_rhs3" localSheetId="0" hidden="1">Sheet3!$J$27:$J$35</definedName>
    <definedName name="solver_rhs4" localSheetId="0" hidden="1">Sheet3!$J$9:$J$17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C102" i="5" l="1"/>
  <c r="B102" i="5"/>
  <c r="I30" i="5"/>
  <c r="C88" i="5"/>
  <c r="B88" i="5"/>
  <c r="C74" i="5"/>
  <c r="B74" i="5"/>
  <c r="C60" i="5"/>
  <c r="B60" i="5"/>
  <c r="I33" i="5"/>
  <c r="D18" i="5"/>
  <c r="I28" i="5"/>
  <c r="I29" i="5"/>
  <c r="I31" i="5"/>
  <c r="I32" i="5"/>
  <c r="I34" i="5"/>
  <c r="I35" i="5"/>
  <c r="I25" i="5"/>
  <c r="I26" i="5"/>
  <c r="I24" i="5"/>
  <c r="I22" i="5"/>
  <c r="I23" i="5"/>
  <c r="I21" i="5"/>
  <c r="I19" i="5"/>
  <c r="I20" i="5"/>
  <c r="I18" i="5"/>
  <c r="I16" i="5"/>
  <c r="I17" i="5"/>
  <c r="I15" i="5"/>
  <c r="I13" i="5"/>
  <c r="I14" i="5"/>
  <c r="I12" i="5"/>
  <c r="I10" i="5"/>
  <c r="I11" i="5"/>
  <c r="I9" i="5"/>
  <c r="B23" i="5"/>
  <c r="B22" i="5"/>
  <c r="E18" i="5" l="1"/>
  <c r="B24" i="5"/>
  <c r="B20" i="5" s="1"/>
  <c r="I27" i="5"/>
</calcChain>
</file>

<file path=xl/sharedStrings.xml><?xml version="1.0" encoding="utf-8"?>
<sst xmlns="http://schemas.openxmlformats.org/spreadsheetml/2006/main" count="99" uniqueCount="61">
  <si>
    <t>Installation Cost</t>
  </si>
  <si>
    <t>LHS</t>
  </si>
  <si>
    <t>RHS</t>
  </si>
  <si>
    <t>Location (j)</t>
  </si>
  <si>
    <t>Installation Cost (Cj)</t>
  </si>
  <si>
    <t>Operating Cost (Oj)</t>
  </si>
  <si>
    <t>Expansion Cost (Aj)</t>
  </si>
  <si>
    <t>Max Capacity (Mj)</t>
  </si>
  <si>
    <t>Period (t)</t>
  </si>
  <si>
    <t>Demand Location 1 (D1t)</t>
  </si>
  <si>
    <t>Demand Location 2 (D2t)</t>
  </si>
  <si>
    <t>Demand Location 3 (D3t)</t>
  </si>
  <si>
    <t>Fixed Data</t>
  </si>
  <si>
    <t>Demand by period</t>
  </si>
  <si>
    <t>Decision variables</t>
  </si>
  <si>
    <t>period (t)</t>
  </si>
  <si>
    <t>Ports Added (Zjt)</t>
  </si>
  <si>
    <t>Ports Allocated (Yjt)</t>
  </si>
  <si>
    <t>Objective function</t>
  </si>
  <si>
    <t>Total Cost</t>
  </si>
  <si>
    <t>Operating Cost</t>
  </si>
  <si>
    <t>Expansion Cost</t>
  </si>
  <si>
    <t xml:space="preserve">Constraints </t>
  </si>
  <si>
    <t>Demand Satisfaction</t>
  </si>
  <si>
    <t>Expression</t>
  </si>
  <si>
    <t xml:space="preserve">Yjt-Djt &gt;= 0 </t>
  </si>
  <si>
    <t>Capacity Constraint</t>
  </si>
  <si>
    <t>Yjt - Mj.Xjt &lt;=0</t>
  </si>
  <si>
    <t>Port Addition</t>
  </si>
  <si>
    <t>Yjt-Yjt-1-Zjt = 0</t>
  </si>
  <si>
    <t>Initial Ports</t>
  </si>
  <si>
    <t>Y11=Z11, Y21=Z21, Y31=Z31</t>
  </si>
  <si>
    <t>Totals</t>
  </si>
  <si>
    <t>Scenario A (Baseline)</t>
  </si>
  <si>
    <t>Scenario B (Increased Demand and Higher Operating Costs)</t>
  </si>
  <si>
    <t>Scenario C (Reduced Capacity and Higher Expansion Costs)</t>
  </si>
  <si>
    <t>Scenario D (Higher Demand and reduced Capacity)</t>
  </si>
  <si>
    <t>Scenario</t>
  </si>
  <si>
    <t>Parameter 1</t>
  </si>
  <si>
    <t>Parameter 2</t>
  </si>
  <si>
    <t>A (Baseline)</t>
  </si>
  <si>
    <t>No changes</t>
  </si>
  <si>
    <t>B (Demand &amp; Cost)</t>
  </si>
  <si>
    <t>Demand (+20–30%)</t>
  </si>
  <si>
    <t>Operating Costs (+10–15%)</t>
  </si>
  <si>
    <t>C (Capacity &amp; Expansion Cost)</t>
  </si>
  <si>
    <t>Capacity (-20–30%)</t>
  </si>
  <si>
    <t>Expansion Costs (+20%)</t>
  </si>
  <si>
    <t>D (Demand &amp; Capacity)</t>
  </si>
  <si>
    <t>Demand (+15–20%)</t>
  </si>
  <si>
    <t>Capacity (-15–20%)</t>
  </si>
  <si>
    <t>Station Installed (Xjt)</t>
  </si>
  <si>
    <t>A</t>
  </si>
  <si>
    <t>B</t>
  </si>
  <si>
    <t>C</t>
  </si>
  <si>
    <t>D</t>
  </si>
  <si>
    <t>Scenario A</t>
  </si>
  <si>
    <t>Scenario B</t>
  </si>
  <si>
    <t>Scenario C</t>
  </si>
  <si>
    <t>Scenario 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</si>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</sst>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 Comparison Across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Sheet3!$G$40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Sheet3!$F$41:$F$44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Sheet3!$G$41:$G$44</c:f>
              <c:numCache>
                <c:formatCode>General</c:formatCode>
                <c:ptCount val="4"/>
                <c:pt idx="0">
                  <c:v>648350</c:v>
                </c:pt>
                <c:pt idx="1">
                  <c:v>481550</c:v>
                </c:pt>
                <c:pt idx="2">
                  <c:v>515250</c:v>
                </c:pt>
                <c:pt idx="3">
                  <c:v>670260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2-4964-8F3C-6E905939AE7F}"/>
            </c:ext>
          </c:extLst>
        </c:ser>
        <c:ser>
          <c:idx val="1"/>
          <c:order val="1"/>
          <c:tx>
            <c:strRef>
              <c:f>Sheet3!$H$40</c:f>
              <c:strCache>
                <c:ptCount val="1"/>
                <c:pt idx="0">
                  <c:v>Installation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Sheet3!$F$41:$F$44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Sheet3!$H$41:$H$44</c:f>
              <c:numCache>
                <c:formatCode>General</c:formatCode>
                <c:ptCount val="4"/>
                <c:pt idx="0">
                  <c:v>540000</c:v>
                </c:pt>
                <c:pt idx="1">
                  <c:v>340000</c:v>
                </c:pt>
                <c:pt idx="2">
                  <c:v>410000</c:v>
                </c:pt>
                <c:pt idx="3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2-4964-8F3C-6E905939AE7F}"/>
            </c:ext>
          </c:extLst>
        </c:ser>
        <c:ser>
          <c:idx val="2"/>
          <c:order val="2"/>
          <c:tx>
            <c:strRef>
              <c:f>Sheet3!$I$40</c:f>
              <c:strCache>
                <c:ptCount val="1"/>
                <c:pt idx="0">
                  <c:v>Operating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Sheet3!$F$41:$F$44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Sheet3!$I$41:$I$44</c:f>
              <c:numCache>
                <c:formatCode>General</c:formatCode>
                <c:ptCount val="4"/>
                <c:pt idx="0">
                  <c:v>72350</c:v>
                </c:pt>
                <c:pt idx="1">
                  <c:v>108050</c:v>
                </c:pt>
                <c:pt idx="2">
                  <c:v>79330</c:v>
                </c:pt>
                <c:pt idx="3">
                  <c:v>96900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2-4964-8F3C-6E905939AE7F}"/>
            </c:ext>
          </c:extLst>
        </c:ser>
        <c:ser>
          <c:idx val="3"/>
          <c:order val="3"/>
          <c:tx>
            <c:strRef>
              <c:f>Sheet3!$J$40</c:f>
              <c:strCache>
                <c:ptCount val="1"/>
                <c:pt idx="0">
                  <c:v>Expansion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Sheet3!$F$41:$F$44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Sheet3!$J$41:$J$44</c:f>
              <c:numCache>
                <c:formatCode>General</c:formatCode>
                <c:ptCount val="4"/>
                <c:pt idx="0">
                  <c:v>36000</c:v>
                </c:pt>
                <c:pt idx="1">
                  <c:v>33500</c:v>
                </c:pt>
                <c:pt idx="2">
                  <c:v>25920</c:v>
                </c:pt>
                <c:pt idx="3">
                  <c:v>33360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B2-4964-8F3C-6E905939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155375"/>
        <c:axId val="1036156335"/>
      </c:barChart>
      <c:catAx>
        <c:axId val="103615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156335"/>
        <c:crosses val="autoZero"/>
        <c:auto val="1"/>
        <c:lblAlgn val="ctr"/>
        <c:lblOffset val="100"/>
        <c:noMultiLvlLbl val="0"/>
      </c:catAx>
      <c:valAx>
        <c:axId val="10361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15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2992</xdr:colOff>
      <xdr:row>44</xdr:row>
      <xdr:rowOff>186417</xdr:rowOff>
    </xdr:from>
    <xdr:to>
      <xdr:col>8</xdr:col>
      <xdr:colOff>1483179</xdr:colOff>
      <xdr:row>61</xdr:row>
      <xdr:rowOff>16140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DEB0F-8877-6C57-D259-545FEB89C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22860</xdr:colOff>
      <xdr:row>62</xdr:row>
      <xdr:rowOff>7620</xdr:rowOff>
    </xdr:from>
    <xdr:to>
      <xdr:col>8</xdr:col>
      <xdr:colOff>1024890</xdr:colOff>
      <xdr:row>77</xdr:row>
      <xdr:rowOff>148919</xdr:rowOff>
    </xdr:to>
    <xdr:pic>
      <xdr:nvPicPr>
        <xdr:cNvPr id="3" name="Picture 2" descr="Output image">
          <a:extLst>
            <a:ext uri="{FF2B5EF4-FFF2-40B4-BE49-F238E27FC236}">
              <a16:creationId xmlns:a16="http://schemas.microsoft.com/office/drawing/2014/main" id="{1A8CACAF-CBCE-6D0E-ED8C-6BA51EDCE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2199620"/>
          <a:ext cx="4632960" cy="299879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1485900</xdr:colOff>
      <xdr:row>62</xdr:row>
      <xdr:rowOff>114300</xdr:rowOff>
    </xdr:from>
    <xdr:to>
      <xdr:col>15</xdr:col>
      <xdr:colOff>332285</xdr:colOff>
      <xdr:row>79</xdr:row>
      <xdr:rowOff>81573</xdr:rowOff>
    </xdr:to>
    <xdr:pic>
      <xdr:nvPicPr>
        <xdr:cNvPr id="4" name="Picture 3" descr="Output image">
          <a:extLst>
            <a:ext uri="{FF2B5EF4-FFF2-40B4-BE49-F238E27FC236}">
              <a16:creationId xmlns:a16="http://schemas.microsoft.com/office/drawing/2014/main" id="{BF720FD1-9C8C-C77E-A1EA-CA9D3DA8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632871"/>
          <a:ext cx="4980213" cy="330211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174172</xdr:rowOff>
    </xdr:from>
    <xdr:to>
      <xdr:col>9</xdr:col>
      <xdr:colOff>685800</xdr:colOff>
      <xdr:row>98</xdr:row>
      <xdr:rowOff>157859</xdr:rowOff>
    </xdr:to>
    <xdr:pic>
      <xdr:nvPicPr>
        <xdr:cNvPr id="5" name="Picture 4" descr="Output image">
          <a:extLst>
            <a:ext uri="{FF2B5EF4-FFF2-40B4-BE49-F238E27FC236}">
              <a16:creationId xmlns:a16="http://schemas.microsoft.com/office/drawing/2014/main" id="{08EC93BB-F22C-3AFF-FC41-B548D2AB7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0771" y="16219715"/>
          <a:ext cx="5845629" cy="351446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355961</xdr:colOff>
      <xdr:row>44</xdr:row>
      <xdr:rowOff>110763</xdr:rowOff>
    </xdr:from>
    <xdr:to>
      <xdr:col>15</xdr:col>
      <xdr:colOff>540687</xdr:colOff>
      <xdr:row>61</xdr:row>
      <xdr:rowOff>63953</xdr:rowOff>
    </xdr:to>
    <xdr:pic>
      <xdr:nvPicPr>
        <xdr:cNvPr id="6" name="Picture 5" descr="Output image">
          <a:extLst>
            <a:ext uri="{FF2B5EF4-FFF2-40B4-BE49-F238E27FC236}">
              <a16:creationId xmlns:a16="http://schemas.microsoft.com/office/drawing/2014/main" id="{FBF25F5B-7031-6A52-8283-9FDC5E499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6561" y="9102363"/>
          <a:ext cx="4804079" cy="327850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8708-47EF-4D3A-A46C-252763CF8CB1}">
  <dimension ref="A1:J102"/>
  <sheetViews>
    <sheetView tabSelected="1" zoomScaleNormal="100" workbookViewId="0">
      <selection activeCell="F9" sqref="F9"/>
    </sheetView>
  </sheetViews>
  <sheetFormatPr defaultRowHeight="15" x14ac:dyDescent="0.25"/>
  <cols>
    <col min="1" max="2" width="26" customWidth="1"/>
    <col min="3" max="3" width="19.28515625" customWidth="1"/>
    <col min="4" max="4" width="19.7109375" customWidth="1"/>
    <col min="5" max="5" width="17.5703125" customWidth="1"/>
    <col min="7" max="7" width="19.28515625" customWidth="1"/>
    <col min="8" max="8" width="26.140625" customWidth="1"/>
    <col min="9" max="9" width="22.85546875" customWidth="1"/>
    <col min="10" max="10" width="23.42578125" customWidth="1"/>
  </cols>
  <sheetData>
    <row r="1" spans="1:10" x14ac:dyDescent="0.25">
      <c r="A1" s="17" t="s">
        <v>12</v>
      </c>
      <c r="B1" s="17"/>
      <c r="C1" s="17"/>
      <c r="D1" s="17"/>
      <c r="E1" s="17"/>
      <c r="G1" s="15" t="s">
        <v>13</v>
      </c>
      <c r="H1" s="16"/>
      <c r="I1" s="16"/>
      <c r="J1" s="16"/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 x14ac:dyDescent="0.25">
      <c r="A3" s="2">
        <v>1</v>
      </c>
      <c r="B3" s="2">
        <v>50000</v>
      </c>
      <c r="C3" s="2">
        <v>500</v>
      </c>
      <c r="D3" s="2">
        <v>1000</v>
      </c>
      <c r="E3" s="2">
        <v>20</v>
      </c>
      <c r="G3" s="5">
        <v>1</v>
      </c>
      <c r="H3" s="5">
        <v>10</v>
      </c>
      <c r="I3" s="5">
        <v>15</v>
      </c>
      <c r="J3" s="5">
        <v>20</v>
      </c>
    </row>
    <row r="4" spans="1:10" x14ac:dyDescent="0.25">
      <c r="A4" s="2">
        <v>2</v>
      </c>
      <c r="B4" s="2">
        <v>60000</v>
      </c>
      <c r="C4" s="2">
        <v>450</v>
      </c>
      <c r="D4" s="2">
        <v>1200</v>
      </c>
      <c r="E4" s="2">
        <v>25</v>
      </c>
      <c r="G4" s="5">
        <v>2</v>
      </c>
      <c r="H4" s="5">
        <v>12</v>
      </c>
      <c r="I4" s="5">
        <v>18</v>
      </c>
      <c r="J4" s="5">
        <v>25</v>
      </c>
    </row>
    <row r="5" spans="1:10" x14ac:dyDescent="0.25">
      <c r="A5" s="2">
        <v>3</v>
      </c>
      <c r="B5" s="2">
        <v>70000</v>
      </c>
      <c r="C5" s="2">
        <v>400</v>
      </c>
      <c r="D5" s="2">
        <v>1500</v>
      </c>
      <c r="E5" s="2">
        <v>30</v>
      </c>
      <c r="G5" s="5">
        <v>3</v>
      </c>
      <c r="H5" s="5">
        <v>15</v>
      </c>
      <c r="I5" s="5">
        <v>20</v>
      </c>
      <c r="J5" s="5">
        <v>30</v>
      </c>
    </row>
    <row r="7" spans="1:10" x14ac:dyDescent="0.25">
      <c r="A7" s="2" t="s">
        <v>14</v>
      </c>
      <c r="B7" s="2"/>
      <c r="C7" s="1" t="s">
        <v>51</v>
      </c>
      <c r="D7" s="1" t="s">
        <v>17</v>
      </c>
      <c r="E7" s="1" t="s">
        <v>16</v>
      </c>
    </row>
    <row r="8" spans="1:10" x14ac:dyDescent="0.25">
      <c r="A8" s="1" t="s">
        <v>3</v>
      </c>
      <c r="B8" s="1" t="s">
        <v>15</v>
      </c>
      <c r="D8">
        <v>0</v>
      </c>
      <c r="G8" s="1" t="s">
        <v>22</v>
      </c>
      <c r="H8" s="1" t="s">
        <v>24</v>
      </c>
      <c r="I8" s="1" t="s">
        <v>1</v>
      </c>
      <c r="J8" s="1" t="s">
        <v>2</v>
      </c>
    </row>
    <row r="9" spans="1:10" x14ac:dyDescent="0.25">
      <c r="A9" s="2">
        <v>1</v>
      </c>
      <c r="B9" s="2">
        <v>1</v>
      </c>
      <c r="C9" s="3">
        <v>1</v>
      </c>
      <c r="D9" s="3">
        <v>10</v>
      </c>
      <c r="E9" s="3">
        <v>10</v>
      </c>
      <c r="G9" s="1" t="s">
        <v>23</v>
      </c>
      <c r="H9" s="1" t="s">
        <v>25</v>
      </c>
      <c r="I9" s="5">
        <f>D9-H3</f>
        <v>0</v>
      </c>
      <c r="J9" s="5">
        <v>0</v>
      </c>
    </row>
    <row r="10" spans="1:10" x14ac:dyDescent="0.25">
      <c r="A10" s="2"/>
      <c r="B10" s="2">
        <v>2</v>
      </c>
      <c r="C10" s="3">
        <v>1</v>
      </c>
      <c r="D10" s="3">
        <v>12</v>
      </c>
      <c r="E10" s="3">
        <v>2</v>
      </c>
      <c r="G10" s="2"/>
      <c r="H10" s="2"/>
      <c r="I10" s="5">
        <f t="shared" ref="I10:I11" si="0">D10-H4</f>
        <v>0</v>
      </c>
      <c r="J10" s="5">
        <v>0</v>
      </c>
    </row>
    <row r="11" spans="1:10" x14ac:dyDescent="0.25">
      <c r="A11" s="2"/>
      <c r="B11" s="2">
        <v>3</v>
      </c>
      <c r="C11" s="3">
        <v>1</v>
      </c>
      <c r="D11" s="3">
        <v>15</v>
      </c>
      <c r="E11" s="3">
        <v>3</v>
      </c>
      <c r="G11" s="2"/>
      <c r="H11" s="2"/>
      <c r="I11" s="5">
        <f t="shared" si="0"/>
        <v>0</v>
      </c>
      <c r="J11" s="5">
        <v>0</v>
      </c>
    </row>
    <row r="12" spans="1:10" x14ac:dyDescent="0.25">
      <c r="A12" s="2">
        <v>2</v>
      </c>
      <c r="B12" s="2">
        <v>1</v>
      </c>
      <c r="C12" s="3">
        <v>1</v>
      </c>
      <c r="D12" s="3">
        <v>15</v>
      </c>
      <c r="E12" s="3">
        <v>0</v>
      </c>
      <c r="G12" s="2"/>
      <c r="H12" s="2"/>
      <c r="I12" s="5">
        <f>D12-I3</f>
        <v>0</v>
      </c>
      <c r="J12" s="5">
        <v>0</v>
      </c>
    </row>
    <row r="13" spans="1:10" x14ac:dyDescent="0.25">
      <c r="A13" s="2"/>
      <c r="B13" s="2">
        <v>2</v>
      </c>
      <c r="C13" s="3">
        <v>1</v>
      </c>
      <c r="D13" s="3">
        <v>18</v>
      </c>
      <c r="E13" s="3">
        <v>3</v>
      </c>
      <c r="G13" s="2"/>
      <c r="H13" s="2"/>
      <c r="I13" s="5">
        <f t="shared" ref="I13:I14" si="1">D13-I4</f>
        <v>0</v>
      </c>
      <c r="J13" s="5">
        <v>0</v>
      </c>
    </row>
    <row r="14" spans="1:10" x14ac:dyDescent="0.25">
      <c r="A14" s="2"/>
      <c r="B14" s="2">
        <v>3</v>
      </c>
      <c r="C14" s="3">
        <v>1</v>
      </c>
      <c r="D14" s="3">
        <v>20</v>
      </c>
      <c r="E14" s="3">
        <v>2</v>
      </c>
      <c r="G14" s="2"/>
      <c r="H14" s="2"/>
      <c r="I14" s="5">
        <f t="shared" si="1"/>
        <v>0</v>
      </c>
      <c r="J14" s="5">
        <v>0</v>
      </c>
    </row>
    <row r="15" spans="1:10" x14ac:dyDescent="0.25">
      <c r="A15" s="2">
        <v>3</v>
      </c>
      <c r="B15" s="2">
        <v>1</v>
      </c>
      <c r="C15" s="3">
        <v>1</v>
      </c>
      <c r="D15" s="3">
        <v>20</v>
      </c>
      <c r="E15" s="3">
        <v>0</v>
      </c>
      <c r="G15" s="2"/>
      <c r="H15" s="2"/>
      <c r="I15" s="5">
        <f>D15-J3</f>
        <v>0</v>
      </c>
      <c r="J15" s="5">
        <v>0</v>
      </c>
    </row>
    <row r="16" spans="1:10" x14ac:dyDescent="0.25">
      <c r="A16" s="2"/>
      <c r="B16" s="2">
        <v>2</v>
      </c>
      <c r="C16" s="3">
        <v>1</v>
      </c>
      <c r="D16" s="3">
        <v>25</v>
      </c>
      <c r="E16" s="3">
        <v>5</v>
      </c>
      <c r="G16" s="2"/>
      <c r="H16" s="2"/>
      <c r="I16" s="5">
        <f t="shared" ref="I16:I17" si="2">D16-J4</f>
        <v>0</v>
      </c>
      <c r="J16" s="5">
        <v>0</v>
      </c>
    </row>
    <row r="17" spans="1:10" x14ac:dyDescent="0.25">
      <c r="A17" s="2"/>
      <c r="B17" s="2">
        <v>3</v>
      </c>
      <c r="C17" s="3">
        <v>1</v>
      </c>
      <c r="D17" s="3">
        <v>30</v>
      </c>
      <c r="E17" s="3">
        <v>5</v>
      </c>
      <c r="G17" s="2"/>
      <c r="H17" s="2"/>
      <c r="I17" s="5">
        <f t="shared" si="2"/>
        <v>0</v>
      </c>
      <c r="J17" s="5">
        <v>0</v>
      </c>
    </row>
    <row r="18" spans="1:10" x14ac:dyDescent="0.25">
      <c r="C18" t="s">
        <v>32</v>
      </c>
      <c r="D18">
        <f>SUM(D9:D17)</f>
        <v>165</v>
      </c>
      <c r="E18">
        <f>SUM(E9:E17)</f>
        <v>30</v>
      </c>
      <c r="G18" s="1" t="s">
        <v>26</v>
      </c>
      <c r="H18" s="1" t="s">
        <v>27</v>
      </c>
      <c r="I18" s="5">
        <f>D9-$E$3*C9</f>
        <v>-10</v>
      </c>
      <c r="J18" s="5">
        <v>0</v>
      </c>
    </row>
    <row r="19" spans="1:10" x14ac:dyDescent="0.25">
      <c r="A19" s="12" t="s">
        <v>18</v>
      </c>
      <c r="B19" s="13"/>
      <c r="G19" s="2"/>
      <c r="H19" s="2"/>
      <c r="I19" s="5">
        <f t="shared" ref="I19:I20" si="3">D10-$E$3*C10</f>
        <v>-8</v>
      </c>
      <c r="J19" s="5">
        <v>0</v>
      </c>
    </row>
    <row r="20" spans="1:10" x14ac:dyDescent="0.25">
      <c r="A20" s="2" t="s">
        <v>19</v>
      </c>
      <c r="B20" s="10">
        <f>SUM(B22:B24)</f>
        <v>648350</v>
      </c>
      <c r="G20" s="2"/>
      <c r="H20" s="2"/>
      <c r="I20" s="5">
        <f t="shared" si="3"/>
        <v>-5</v>
      </c>
      <c r="J20" s="5">
        <v>0</v>
      </c>
    </row>
    <row r="21" spans="1:10" x14ac:dyDescent="0.25">
      <c r="A21" s="2"/>
      <c r="B21" s="2"/>
      <c r="G21" s="2"/>
      <c r="H21" s="2"/>
      <c r="I21" s="5">
        <f>D12-$E$4*C12</f>
        <v>-10</v>
      </c>
      <c r="J21" s="5">
        <v>0</v>
      </c>
    </row>
    <row r="22" spans="1:10" x14ac:dyDescent="0.25">
      <c r="A22" s="2" t="s">
        <v>0</v>
      </c>
      <c r="B22" s="2">
        <f>B3*SUM(C9:C11)+B4*SUM(C12:C14)+B5*SUM(C15:C17)</f>
        <v>540000</v>
      </c>
      <c r="G22" s="2"/>
      <c r="H22" s="2"/>
      <c r="I22" s="5">
        <f t="shared" ref="I22:I23" si="4">D13-$E$4*C13</f>
        <v>-7</v>
      </c>
      <c r="J22" s="5">
        <v>0</v>
      </c>
    </row>
    <row r="23" spans="1:10" x14ac:dyDescent="0.25">
      <c r="A23" s="2" t="s">
        <v>20</v>
      </c>
      <c r="B23" s="2">
        <f>C3*SUM(D9:D11)+C4*SUM(D12:D14)+C5*SUM(D15:D17)</f>
        <v>72350</v>
      </c>
      <c r="G23" s="2"/>
      <c r="H23" s="2"/>
      <c r="I23" s="5">
        <f t="shared" si="4"/>
        <v>-5</v>
      </c>
      <c r="J23" s="5">
        <v>0</v>
      </c>
    </row>
    <row r="24" spans="1:10" x14ac:dyDescent="0.25">
      <c r="A24" s="2" t="s">
        <v>21</v>
      </c>
      <c r="B24" s="2">
        <f>D3*SUM(E9:E11)+D4*SUM(E12:E14)+D5*SUM(E15:E17)</f>
        <v>36000</v>
      </c>
      <c r="G24" s="2"/>
      <c r="H24" s="2"/>
      <c r="I24" s="5">
        <f>D15-$E$5*C15</f>
        <v>-10</v>
      </c>
      <c r="J24" s="5">
        <v>0</v>
      </c>
    </row>
    <row r="25" spans="1:10" x14ac:dyDescent="0.25">
      <c r="G25" s="2"/>
      <c r="H25" s="2"/>
      <c r="I25" s="5">
        <f t="shared" ref="I25:I26" si="5">D16-$E$5*C16</f>
        <v>-5</v>
      </c>
      <c r="J25" s="5">
        <v>0</v>
      </c>
    </row>
    <row r="26" spans="1:10" x14ac:dyDescent="0.25">
      <c r="A26" s="12" t="s">
        <v>60</v>
      </c>
      <c r="B26" s="14"/>
      <c r="C26" s="14"/>
      <c r="D26" s="13"/>
      <c r="G26" s="2"/>
      <c r="H26" s="2"/>
      <c r="I26" s="5">
        <f t="shared" si="5"/>
        <v>0</v>
      </c>
      <c r="J26" s="5">
        <v>0</v>
      </c>
    </row>
    <row r="27" spans="1:10" x14ac:dyDescent="0.25">
      <c r="A27" s="21" t="s">
        <v>33</v>
      </c>
      <c r="B27" s="22"/>
      <c r="C27" s="22"/>
      <c r="D27" s="23"/>
      <c r="G27" s="1" t="s">
        <v>28</v>
      </c>
      <c r="H27" s="1" t="s">
        <v>29</v>
      </c>
      <c r="I27" s="5">
        <f>D9-D8-E9</f>
        <v>0</v>
      </c>
      <c r="J27" s="5">
        <v>0</v>
      </c>
    </row>
    <row r="28" spans="1:10" x14ac:dyDescent="0.25">
      <c r="A28" s="7" t="s">
        <v>19</v>
      </c>
      <c r="B28" s="7" t="s">
        <v>0</v>
      </c>
      <c r="C28" s="7" t="s">
        <v>20</v>
      </c>
      <c r="D28" s="7" t="s">
        <v>21</v>
      </c>
      <c r="G28" s="2"/>
      <c r="H28" s="2"/>
      <c r="I28" s="5">
        <f t="shared" ref="I28:I35" si="6">D10-D9-E10</f>
        <v>0</v>
      </c>
      <c r="J28" s="5">
        <v>0</v>
      </c>
    </row>
    <row r="29" spans="1:10" x14ac:dyDescent="0.25">
      <c r="A29" s="5">
        <v>648350</v>
      </c>
      <c r="B29" s="5">
        <v>540000</v>
      </c>
      <c r="C29" s="5">
        <v>72350</v>
      </c>
      <c r="D29" s="5">
        <v>36000</v>
      </c>
      <c r="G29" s="2"/>
      <c r="H29" s="2"/>
      <c r="I29" s="5">
        <f t="shared" si="6"/>
        <v>0</v>
      </c>
      <c r="J29" s="5">
        <v>0</v>
      </c>
    </row>
    <row r="30" spans="1:10" x14ac:dyDescent="0.25">
      <c r="A30" s="21" t="s">
        <v>34</v>
      </c>
      <c r="B30" s="22"/>
      <c r="C30" s="22"/>
      <c r="D30" s="23"/>
      <c r="G30" s="2"/>
      <c r="H30" s="2"/>
      <c r="I30" s="5">
        <f t="shared" si="6"/>
        <v>0</v>
      </c>
      <c r="J30" s="5">
        <v>0</v>
      </c>
    </row>
    <row r="31" spans="1:10" x14ac:dyDescent="0.25">
      <c r="A31" s="7" t="s">
        <v>19</v>
      </c>
      <c r="B31" s="7" t="s">
        <v>0</v>
      </c>
      <c r="C31" s="7" t="s">
        <v>20</v>
      </c>
      <c r="D31" s="7" t="s">
        <v>21</v>
      </c>
      <c r="G31" s="2"/>
      <c r="H31" s="2"/>
      <c r="I31" s="5">
        <f t="shared" si="6"/>
        <v>0</v>
      </c>
      <c r="J31" s="5">
        <v>0</v>
      </c>
    </row>
    <row r="32" spans="1:10" x14ac:dyDescent="0.25">
      <c r="A32" s="5">
        <v>481550</v>
      </c>
      <c r="B32" s="5">
        <v>340000</v>
      </c>
      <c r="C32" s="5">
        <v>108050</v>
      </c>
      <c r="D32" s="5">
        <v>33500</v>
      </c>
      <c r="G32" s="2"/>
      <c r="H32" s="2"/>
      <c r="I32" s="5">
        <f t="shared" si="6"/>
        <v>0</v>
      </c>
      <c r="J32" s="5">
        <v>0</v>
      </c>
    </row>
    <row r="33" spans="1:10" x14ac:dyDescent="0.25">
      <c r="A33" s="21" t="s">
        <v>35</v>
      </c>
      <c r="B33" s="22"/>
      <c r="C33" s="22"/>
      <c r="D33" s="23"/>
      <c r="G33" s="2"/>
      <c r="H33" s="2"/>
      <c r="I33" s="5">
        <f t="shared" si="6"/>
        <v>0</v>
      </c>
      <c r="J33" s="5">
        <v>0</v>
      </c>
    </row>
    <row r="34" spans="1:10" x14ac:dyDescent="0.25">
      <c r="A34" s="7" t="s">
        <v>19</v>
      </c>
      <c r="B34" s="7" t="s">
        <v>0</v>
      </c>
      <c r="C34" s="7" t="s">
        <v>20</v>
      </c>
      <c r="D34" s="7" t="s">
        <v>21</v>
      </c>
      <c r="G34" s="2"/>
      <c r="H34" s="2"/>
      <c r="I34" s="5">
        <f t="shared" si="6"/>
        <v>0</v>
      </c>
      <c r="J34" s="5">
        <v>0</v>
      </c>
    </row>
    <row r="35" spans="1:10" x14ac:dyDescent="0.25">
      <c r="A35" s="5">
        <v>515250</v>
      </c>
      <c r="B35" s="5">
        <v>410000</v>
      </c>
      <c r="C35" s="5">
        <v>79330</v>
      </c>
      <c r="D35" s="5">
        <v>25920</v>
      </c>
      <c r="G35" s="2"/>
      <c r="H35" s="2"/>
      <c r="I35" s="5">
        <f t="shared" si="6"/>
        <v>0</v>
      </c>
      <c r="J35" s="5">
        <v>0</v>
      </c>
    </row>
    <row r="36" spans="1:10" x14ac:dyDescent="0.25">
      <c r="A36" s="21" t="s">
        <v>36</v>
      </c>
      <c r="B36" s="22"/>
      <c r="C36" s="22"/>
      <c r="D36" s="23"/>
      <c r="G36" s="1" t="s">
        <v>30</v>
      </c>
      <c r="H36" s="1" t="s">
        <v>31</v>
      </c>
      <c r="I36" s="5"/>
      <c r="J36" s="5"/>
    </row>
    <row r="37" spans="1:10" x14ac:dyDescent="0.25">
      <c r="A37" s="7" t="s">
        <v>19</v>
      </c>
      <c r="B37" s="7" t="s">
        <v>0</v>
      </c>
      <c r="C37" s="7" t="s">
        <v>20</v>
      </c>
      <c r="D37" s="7" t="s">
        <v>21</v>
      </c>
    </row>
    <row r="38" spans="1:10" x14ac:dyDescent="0.25">
      <c r="A38" s="5">
        <v>670260</v>
      </c>
      <c r="B38" s="5">
        <v>540000</v>
      </c>
      <c r="C38" s="5">
        <v>96900</v>
      </c>
      <c r="D38" s="5">
        <v>33360</v>
      </c>
    </row>
    <row r="40" spans="1:10" x14ac:dyDescent="0.25">
      <c r="F40" s="2"/>
      <c r="G40" s="7" t="s">
        <v>19</v>
      </c>
      <c r="H40" s="7" t="s">
        <v>0</v>
      </c>
      <c r="I40" s="7" t="s">
        <v>20</v>
      </c>
      <c r="J40" s="7" t="s">
        <v>21</v>
      </c>
    </row>
    <row r="41" spans="1:10" x14ac:dyDescent="0.25">
      <c r="B41" s="4" t="s">
        <v>37</v>
      </c>
      <c r="C41" s="4" t="s">
        <v>38</v>
      </c>
      <c r="D41" s="4" t="s">
        <v>39</v>
      </c>
      <c r="F41" s="8" t="s">
        <v>52</v>
      </c>
      <c r="G41" s="5">
        <v>648350</v>
      </c>
      <c r="H41" s="5">
        <v>540000</v>
      </c>
      <c r="I41" s="5">
        <v>72350</v>
      </c>
      <c r="J41" s="5">
        <v>36000</v>
      </c>
    </row>
    <row r="42" spans="1:10" x14ac:dyDescent="0.25">
      <c r="B42" s="6" t="s">
        <v>40</v>
      </c>
      <c r="C42" s="6" t="s">
        <v>41</v>
      </c>
      <c r="D42" s="6" t="s">
        <v>41</v>
      </c>
      <c r="F42" s="6" t="s">
        <v>53</v>
      </c>
      <c r="G42" s="5">
        <v>481550</v>
      </c>
      <c r="H42" s="5">
        <v>340000</v>
      </c>
      <c r="I42" s="5">
        <v>108050</v>
      </c>
      <c r="J42" s="5">
        <v>33500</v>
      </c>
    </row>
    <row r="43" spans="1:10" ht="30" x14ac:dyDescent="0.25">
      <c r="B43" s="6" t="s">
        <v>42</v>
      </c>
      <c r="C43" s="6" t="s">
        <v>43</v>
      </c>
      <c r="D43" s="6" t="s">
        <v>44</v>
      </c>
      <c r="F43" s="6" t="s">
        <v>54</v>
      </c>
      <c r="G43" s="5">
        <v>515250</v>
      </c>
      <c r="H43" s="5">
        <v>410000</v>
      </c>
      <c r="I43" s="5">
        <v>79330</v>
      </c>
      <c r="J43" s="5">
        <v>25920</v>
      </c>
    </row>
    <row r="44" spans="1:10" ht="30" x14ac:dyDescent="0.25">
      <c r="B44" s="6" t="s">
        <v>45</v>
      </c>
      <c r="C44" s="6" t="s">
        <v>46</v>
      </c>
      <c r="D44" s="6" t="s">
        <v>47</v>
      </c>
      <c r="F44" s="6" t="s">
        <v>55</v>
      </c>
      <c r="G44" s="5">
        <v>670260</v>
      </c>
      <c r="H44" s="5">
        <v>540000</v>
      </c>
      <c r="I44" s="5">
        <v>96900</v>
      </c>
      <c r="J44" s="5">
        <v>33360</v>
      </c>
    </row>
    <row r="45" spans="1:10" x14ac:dyDescent="0.25">
      <c r="B45" s="6" t="s">
        <v>48</v>
      </c>
      <c r="C45" s="6" t="s">
        <v>49</v>
      </c>
      <c r="D45" s="6" t="s">
        <v>50</v>
      </c>
    </row>
    <row r="48" spans="1:10" x14ac:dyDescent="0.25">
      <c r="A48" s="18" t="s">
        <v>56</v>
      </c>
      <c r="B48" s="19"/>
      <c r="C48" s="20"/>
    </row>
    <row r="49" spans="1:3" x14ac:dyDescent="0.25">
      <c r="A49" s="7" t="s">
        <v>51</v>
      </c>
      <c r="B49" s="7" t="s">
        <v>17</v>
      </c>
      <c r="C49" s="7" t="s">
        <v>16</v>
      </c>
    </row>
    <row r="50" spans="1:3" x14ac:dyDescent="0.25">
      <c r="A50" s="5"/>
      <c r="B50" s="5">
        <v>0</v>
      </c>
      <c r="C50" s="5"/>
    </row>
    <row r="51" spans="1:3" x14ac:dyDescent="0.25">
      <c r="A51" s="9">
        <v>1</v>
      </c>
      <c r="B51" s="9">
        <v>10</v>
      </c>
      <c r="C51" s="9">
        <v>10</v>
      </c>
    </row>
    <row r="52" spans="1:3" x14ac:dyDescent="0.25">
      <c r="A52" s="9">
        <v>1</v>
      </c>
      <c r="B52" s="9">
        <v>12</v>
      </c>
      <c r="C52" s="9">
        <v>2</v>
      </c>
    </row>
    <row r="53" spans="1:3" x14ac:dyDescent="0.25">
      <c r="A53" s="9">
        <v>1</v>
      </c>
      <c r="B53" s="9">
        <v>15</v>
      </c>
      <c r="C53" s="9">
        <v>3</v>
      </c>
    </row>
    <row r="54" spans="1:3" x14ac:dyDescent="0.25">
      <c r="A54" s="9">
        <v>1</v>
      </c>
      <c r="B54" s="9">
        <v>15</v>
      </c>
      <c r="C54" s="9">
        <v>0</v>
      </c>
    </row>
    <row r="55" spans="1:3" x14ac:dyDescent="0.25">
      <c r="A55" s="9">
        <v>1</v>
      </c>
      <c r="B55" s="9">
        <v>18</v>
      </c>
      <c r="C55" s="9">
        <v>3</v>
      </c>
    </row>
    <row r="56" spans="1:3" x14ac:dyDescent="0.25">
      <c r="A56" s="9">
        <v>1</v>
      </c>
      <c r="B56" s="9">
        <v>20</v>
      </c>
      <c r="C56" s="9">
        <v>2</v>
      </c>
    </row>
    <row r="57" spans="1:3" x14ac:dyDescent="0.25">
      <c r="A57" s="9">
        <v>1</v>
      </c>
      <c r="B57" s="9">
        <v>20</v>
      </c>
      <c r="C57" s="9">
        <v>0</v>
      </c>
    </row>
    <row r="58" spans="1:3" x14ac:dyDescent="0.25">
      <c r="A58" s="9">
        <v>1</v>
      </c>
      <c r="B58" s="9">
        <v>25</v>
      </c>
      <c r="C58" s="9">
        <v>5</v>
      </c>
    </row>
    <row r="59" spans="1:3" x14ac:dyDescent="0.25">
      <c r="A59" s="9">
        <v>1</v>
      </c>
      <c r="B59" s="9">
        <v>30</v>
      </c>
      <c r="C59" s="9">
        <v>5</v>
      </c>
    </row>
    <row r="60" spans="1:3" x14ac:dyDescent="0.25">
      <c r="A60" s="5" t="s">
        <v>32</v>
      </c>
      <c r="B60" s="5">
        <f>SUM(B51:B59)</f>
        <v>165</v>
      </c>
      <c r="C60" s="5">
        <f>SUM(C51:C59)</f>
        <v>30</v>
      </c>
    </row>
    <row r="62" spans="1:3" x14ac:dyDescent="0.25">
      <c r="A62" s="11" t="s">
        <v>57</v>
      </c>
      <c r="B62" s="11"/>
      <c r="C62" s="11"/>
    </row>
    <row r="63" spans="1:3" x14ac:dyDescent="0.25">
      <c r="A63" s="7" t="s">
        <v>51</v>
      </c>
      <c r="B63" s="7" t="s">
        <v>17</v>
      </c>
      <c r="C63" s="7" t="s">
        <v>16</v>
      </c>
    </row>
    <row r="64" spans="1:3" x14ac:dyDescent="0.25">
      <c r="A64" s="5"/>
      <c r="B64" s="5">
        <v>0</v>
      </c>
      <c r="C64" s="5"/>
    </row>
    <row r="65" spans="1:3" x14ac:dyDescent="0.25">
      <c r="A65" s="9">
        <v>1</v>
      </c>
      <c r="B65" s="9">
        <v>19.999999999999996</v>
      </c>
      <c r="C65" s="9">
        <v>19.999999999999996</v>
      </c>
    </row>
    <row r="66" spans="1:3" x14ac:dyDescent="0.25">
      <c r="A66" s="9">
        <v>1</v>
      </c>
      <c r="B66" s="9">
        <v>19.999999999999996</v>
      </c>
      <c r="C66" s="9">
        <v>0</v>
      </c>
    </row>
    <row r="67" spans="1:3" x14ac:dyDescent="0.25">
      <c r="A67" s="9">
        <v>1</v>
      </c>
      <c r="B67" s="9">
        <v>19.999999999999996</v>
      </c>
      <c r="C67" s="9">
        <v>0</v>
      </c>
    </row>
    <row r="68" spans="1:3" x14ac:dyDescent="0.25">
      <c r="A68" s="9">
        <v>0</v>
      </c>
      <c r="B68" s="9">
        <v>19.999999999999996</v>
      </c>
      <c r="C68" s="9">
        <v>0</v>
      </c>
    </row>
    <row r="69" spans="1:3" x14ac:dyDescent="0.25">
      <c r="A69" s="9">
        <v>1</v>
      </c>
      <c r="B69" s="9">
        <v>25</v>
      </c>
      <c r="C69" s="9">
        <v>5.0000000000000027</v>
      </c>
    </row>
    <row r="70" spans="1:3" x14ac:dyDescent="0.25">
      <c r="A70" s="9">
        <v>1</v>
      </c>
      <c r="B70" s="9">
        <v>25</v>
      </c>
      <c r="C70" s="9">
        <v>0</v>
      </c>
    </row>
    <row r="71" spans="1:3" x14ac:dyDescent="0.25">
      <c r="A71" s="9">
        <v>0</v>
      </c>
      <c r="B71" s="9">
        <v>25</v>
      </c>
      <c r="C71" s="9">
        <v>0</v>
      </c>
    </row>
    <row r="72" spans="1:3" x14ac:dyDescent="0.25">
      <c r="A72" s="9">
        <v>1</v>
      </c>
      <c r="B72" s="9">
        <v>30</v>
      </c>
      <c r="C72" s="9">
        <v>4.9999999999999991</v>
      </c>
    </row>
    <row r="73" spans="1:3" x14ac:dyDescent="0.25">
      <c r="A73" s="9">
        <v>1</v>
      </c>
      <c r="B73" s="9">
        <v>30</v>
      </c>
      <c r="C73" s="9">
        <v>0</v>
      </c>
    </row>
    <row r="74" spans="1:3" x14ac:dyDescent="0.25">
      <c r="A74" s="5" t="s">
        <v>32</v>
      </c>
      <c r="B74" s="5">
        <f>SUM(B65:B73)</f>
        <v>215</v>
      </c>
      <c r="C74" s="5">
        <f>SUM(C65:C73)</f>
        <v>30</v>
      </c>
    </row>
    <row r="76" spans="1:3" x14ac:dyDescent="0.25">
      <c r="A76" s="11" t="s">
        <v>58</v>
      </c>
      <c r="B76" s="11"/>
      <c r="C76" s="11"/>
    </row>
    <row r="77" spans="1:3" x14ac:dyDescent="0.25">
      <c r="A77" s="7" t="s">
        <v>51</v>
      </c>
      <c r="B77" s="7" t="s">
        <v>17</v>
      </c>
      <c r="C77" s="7" t="s">
        <v>16</v>
      </c>
    </row>
    <row r="78" spans="1:3" x14ac:dyDescent="0.25">
      <c r="A78" s="5"/>
      <c r="B78" s="5">
        <v>0</v>
      </c>
      <c r="C78" s="5"/>
    </row>
    <row r="79" spans="1:3" x14ac:dyDescent="0.25">
      <c r="A79" s="9">
        <v>1</v>
      </c>
      <c r="B79" s="9">
        <v>15</v>
      </c>
      <c r="C79" s="9">
        <v>15</v>
      </c>
    </row>
    <row r="80" spans="1:3" x14ac:dyDescent="0.25">
      <c r="A80" s="9">
        <v>1</v>
      </c>
      <c r="B80" s="9">
        <v>15</v>
      </c>
      <c r="C80" s="9">
        <v>0</v>
      </c>
    </row>
    <row r="81" spans="1:3" x14ac:dyDescent="0.25">
      <c r="A81" s="9">
        <v>1</v>
      </c>
      <c r="B81" s="9">
        <v>15</v>
      </c>
      <c r="C81" s="9">
        <v>0</v>
      </c>
    </row>
    <row r="82" spans="1:3" x14ac:dyDescent="0.25">
      <c r="A82" s="9">
        <v>1</v>
      </c>
      <c r="B82" s="9">
        <v>18</v>
      </c>
      <c r="C82" s="9">
        <v>2.9999999999999991</v>
      </c>
    </row>
    <row r="83" spans="1:3" x14ac:dyDescent="0.25">
      <c r="A83" s="9">
        <v>1</v>
      </c>
      <c r="B83" s="9">
        <v>18</v>
      </c>
      <c r="C83" s="9">
        <v>0</v>
      </c>
    </row>
    <row r="84" spans="1:3" x14ac:dyDescent="0.25">
      <c r="A84" s="9">
        <v>1</v>
      </c>
      <c r="B84" s="9">
        <v>18</v>
      </c>
      <c r="C84" s="9">
        <v>0</v>
      </c>
    </row>
    <row r="85" spans="1:3" x14ac:dyDescent="0.25">
      <c r="A85" s="9">
        <v>1</v>
      </c>
      <c r="B85" s="9">
        <v>20</v>
      </c>
      <c r="C85" s="9">
        <v>2.0000000000000018</v>
      </c>
    </row>
    <row r="86" spans="1:3" x14ac:dyDescent="0.25">
      <c r="A86" s="9">
        <v>1</v>
      </c>
      <c r="B86" s="9">
        <v>20</v>
      </c>
      <c r="C86" s="9">
        <v>0</v>
      </c>
    </row>
    <row r="87" spans="1:3" x14ac:dyDescent="0.25">
      <c r="A87" s="9">
        <v>1</v>
      </c>
      <c r="B87" s="9">
        <v>20</v>
      </c>
      <c r="C87" s="9">
        <v>0</v>
      </c>
    </row>
    <row r="88" spans="1:3" x14ac:dyDescent="0.25">
      <c r="A88" s="5" t="s">
        <v>32</v>
      </c>
      <c r="B88" s="5">
        <f>SUM(B79:B87)</f>
        <v>159</v>
      </c>
      <c r="C88" s="5">
        <f>SUM(C79:C87)</f>
        <v>20</v>
      </c>
    </row>
    <row r="90" spans="1:3" x14ac:dyDescent="0.25">
      <c r="A90" s="11" t="s">
        <v>59</v>
      </c>
      <c r="B90" s="11"/>
      <c r="C90" s="11"/>
    </row>
    <row r="91" spans="1:3" x14ac:dyDescent="0.25">
      <c r="A91" s="7" t="s">
        <v>51</v>
      </c>
      <c r="B91" s="7" t="s">
        <v>17</v>
      </c>
      <c r="C91" s="7" t="s">
        <v>16</v>
      </c>
    </row>
    <row r="92" spans="1:3" x14ac:dyDescent="0.25">
      <c r="A92" s="5"/>
      <c r="B92" s="5">
        <v>0</v>
      </c>
      <c r="C92" s="5"/>
    </row>
    <row r="93" spans="1:3" x14ac:dyDescent="0.25">
      <c r="A93" s="9">
        <v>1</v>
      </c>
      <c r="B93" s="9">
        <v>17</v>
      </c>
      <c r="C93" s="9">
        <v>17</v>
      </c>
    </row>
    <row r="94" spans="1:3" x14ac:dyDescent="0.25">
      <c r="A94" s="9">
        <v>1</v>
      </c>
      <c r="B94" s="9">
        <v>17</v>
      </c>
      <c r="C94" s="9">
        <v>0</v>
      </c>
    </row>
    <row r="95" spans="1:3" x14ac:dyDescent="0.25">
      <c r="A95" s="9">
        <v>1</v>
      </c>
      <c r="B95" s="9">
        <v>17</v>
      </c>
      <c r="C95" s="9">
        <v>0</v>
      </c>
    </row>
    <row r="96" spans="1:3" x14ac:dyDescent="0.25">
      <c r="A96" s="9">
        <v>1</v>
      </c>
      <c r="B96" s="9">
        <v>21</v>
      </c>
      <c r="C96" s="9">
        <v>4</v>
      </c>
    </row>
    <row r="97" spans="1:3" x14ac:dyDescent="0.25">
      <c r="A97" s="9">
        <v>1</v>
      </c>
      <c r="B97" s="9">
        <v>21</v>
      </c>
      <c r="C97" s="9">
        <v>0</v>
      </c>
    </row>
    <row r="98" spans="1:3" x14ac:dyDescent="0.25">
      <c r="A98" s="9">
        <v>1</v>
      </c>
      <c r="B98" s="9">
        <v>21</v>
      </c>
      <c r="C98" s="9">
        <v>0</v>
      </c>
    </row>
    <row r="99" spans="1:3" x14ac:dyDescent="0.25">
      <c r="A99" s="9">
        <v>1</v>
      </c>
      <c r="B99" s="9">
        <v>24.999999999999996</v>
      </c>
      <c r="C99" s="9">
        <v>3.9999999999999973</v>
      </c>
    </row>
    <row r="100" spans="1:3" x14ac:dyDescent="0.25">
      <c r="A100" s="9">
        <v>1</v>
      </c>
      <c r="B100" s="9">
        <v>24.999999999999996</v>
      </c>
      <c r="C100" s="9">
        <v>0</v>
      </c>
    </row>
    <row r="101" spans="1:3" x14ac:dyDescent="0.25">
      <c r="A101" s="9">
        <v>1</v>
      </c>
      <c r="B101" s="9">
        <v>24.999999999999996</v>
      </c>
      <c r="C101" s="9">
        <v>0</v>
      </c>
    </row>
    <row r="102" spans="1:3" x14ac:dyDescent="0.25">
      <c r="A102" s="5" t="s">
        <v>32</v>
      </c>
      <c r="B102" s="5">
        <f>SUM(B93:B101)</f>
        <v>189</v>
      </c>
      <c r="C102" s="5">
        <f>SUM(C93:C101)</f>
        <v>24.999999999999996</v>
      </c>
    </row>
  </sheetData>
  <mergeCells count="12">
    <mergeCell ref="A76:C76"/>
    <mergeCell ref="A90:C90"/>
    <mergeCell ref="A19:B19"/>
    <mergeCell ref="A26:D26"/>
    <mergeCell ref="G1:J1"/>
    <mergeCell ref="A1:E1"/>
    <mergeCell ref="A48:C48"/>
    <mergeCell ref="A62:C62"/>
    <mergeCell ref="A27:D27"/>
    <mergeCell ref="A30:D30"/>
    <mergeCell ref="A33:D33"/>
    <mergeCell ref="A36:D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Vangara</cp:lastModifiedBy>
  <dcterms:created xsi:type="dcterms:W3CDTF">2024-11-30T20:38:38Z</dcterms:created>
  <dcterms:modified xsi:type="dcterms:W3CDTF">2024-12-02T01:04:11Z</dcterms:modified>
</cp:coreProperties>
</file>